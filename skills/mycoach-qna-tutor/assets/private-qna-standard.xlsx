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icolewang1/Desktop/FY27认证量尺/"/>
    </mc:Choice>
  </mc:AlternateContent>
  <xr:revisionPtr revIDLastSave="0" documentId="13_ncr:1_{2383CB3D-3E08-1945-BD6B-6A42BCEBFD81}" xr6:coauthVersionLast="47" xr6:coauthVersionMax="47" xr10:uidLastSave="{00000000-0000-0000-0000-000000000000}"/>
  <bookViews>
    <workbookView xWindow="4300" yWindow="680" windowWidth="29900" windowHeight="20320" activeTab="1" xr2:uid="{00000000-000D-0000-FFFF-FFFF00000000}"/>
  </bookViews>
  <sheets>
    <sheet name="私教答疑打分表" sheetId="1" r:id="rId1"/>
    <sheet name="定量细项打分说明" sheetId="2" r:id="rId2"/>
    <sheet name="定性细项打分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G30" i="1"/>
  <c r="G29" i="1"/>
  <c r="G28" i="1"/>
  <c r="G27" i="1"/>
  <c r="N19" i="1" l="1"/>
  <c r="L19" i="1"/>
  <c r="J19" i="1"/>
  <c r="H19" i="1"/>
  <c r="G18" i="1"/>
  <c r="O18" i="1" s="1"/>
  <c r="K17" i="1"/>
  <c r="G17" i="1"/>
  <c r="G16" i="1"/>
  <c r="O16" i="1" s="1"/>
  <c r="G15" i="1"/>
  <c r="K15" i="1" s="1"/>
  <c r="G14" i="1"/>
  <c r="K14" i="1" s="1"/>
  <c r="K19" i="1" s="1"/>
  <c r="I13" i="1"/>
  <c r="G13" i="1"/>
  <c r="G12" i="1"/>
  <c r="I12" i="1" s="1"/>
  <c r="I19" i="1" s="1"/>
  <c r="G11" i="1"/>
  <c r="O11" i="1" s="1"/>
  <c r="G10" i="1"/>
  <c r="M10" i="1" s="1"/>
  <c r="O9" i="1"/>
  <c r="G9" i="1"/>
  <c r="G8" i="1"/>
  <c r="M8" i="1" s="1"/>
  <c r="G7" i="1"/>
  <c r="O7" i="1" s="1"/>
  <c r="G6" i="1"/>
  <c r="M6" i="1" s="1"/>
  <c r="O5" i="1"/>
  <c r="G5" i="1"/>
  <c r="G4" i="1"/>
  <c r="M4" i="1" s="1"/>
  <c r="M19" i="1" s="1"/>
  <c r="G3" i="1"/>
  <c r="O3" i="1" s="1"/>
  <c r="O19" i="1" s="1"/>
</calcChain>
</file>

<file path=xl/sharedStrings.xml><?xml version="1.0" encoding="utf-8"?>
<sst xmlns="http://schemas.openxmlformats.org/spreadsheetml/2006/main" count="218" uniqueCount="205">
  <si>
    <t>私教答疑</t>
  </si>
  <si>
    <t>步骤</t>
  </si>
  <si>
    <t>环节</t>
  </si>
  <si>
    <t>考核点（关键任务）</t>
  </si>
  <si>
    <t>行为标准</t>
  </si>
  <si>
    <t>考官打分</t>
  </si>
  <si>
    <t>后台计分</t>
  </si>
  <si>
    <t>【方案合理性】
权重</t>
  </si>
  <si>
    <t>【方案合理性】
加权得分</t>
  </si>
  <si>
    <t>【知识准确专业】
权重</t>
  </si>
  <si>
    <t>【知识准确专业】
加权得分</t>
  </si>
  <si>
    <t>【服务技巧】
权重</t>
  </si>
  <si>
    <t>【服务技巧】
加权得分</t>
  </si>
  <si>
    <t>【流程完整】
权重</t>
  </si>
  <si>
    <t>【流程完整】
加权得分</t>
  </si>
  <si>
    <t>热情欢迎</t>
  </si>
  <si>
    <t>招呼顾客</t>
  </si>
  <si>
    <t>建立私教身份
展现私教温度</t>
  </si>
  <si>
    <t>1.招呼顾客，做标准自我介绍【流程-有/无】</t>
  </si>
  <si>
    <t>有</t>
  </si>
  <si>
    <t>2.礼貌用语，自信大方，不使用生硬/压迫性词汇，展现出专业的教练温度。【感受-打分：0~10】</t>
  </si>
  <si>
    <t>倾听、探索、
确认问题</t>
  </si>
  <si>
    <t>倾听顾客
表示感同身受</t>
  </si>
  <si>
    <t>情绪承接技能</t>
  </si>
  <si>
    <t>3.认真倾听，面对抱怨、指责或急躁时，控制情绪不急躁打断，不出现不耐烦，专业降温表达共情。【流程-有/无】</t>
  </si>
  <si>
    <t>表达感同身受</t>
  </si>
  <si>
    <t>4.接纳顾客情绪真实流露，能运用“缓冲表达”展现共情与陪伴度，用合适语言表达感同身受，不尴尬。【感受-打分：0~10】</t>
  </si>
  <si>
    <t>探询与确认问题</t>
  </si>
  <si>
    <t>结构化探询</t>
  </si>
  <si>
    <t>5.说明提问意图，管理问题预期【流程-有/无】</t>
  </si>
  <si>
    <t>6.探询思路清晰，指向明确、通俗易懂、方便回答。遵循“倾听-确认-再提问”逻辑，避免连珠炮式反问顾客。【感受-打分：0~10】</t>
  </si>
  <si>
    <t>确认核心痛点</t>
  </si>
  <si>
    <t>7. 与顾客共同对齐并确认要解决的核心问题。【流程-有/无】</t>
  </si>
  <si>
    <t>8.定位问题清晰不拖沓，能使用“复述+确认”的方式与顾客共同对齐要解决的核心痛点【感受-打分：0~10】</t>
  </si>
  <si>
    <t>提供帮助</t>
  </si>
  <si>
    <t>解决方案</t>
  </si>
  <si>
    <t>预期管理与排障逻辑</t>
  </si>
  <si>
    <t>9. 有排障意识，在执行可能引起变化的操作（如重置/升级）前，主动进行预期管理（明确告知潜在风险或结果）。或在排障中提醒顾客保护密码等隐私数据，合规操作。【流程-有/无】</t>
  </si>
  <si>
    <t>提供解决方案</t>
  </si>
  <si>
    <t>10. 有实质性解决方案提供，另外若受限于政策/硬件时，能主动提供可行性替代方案。【感受-打分：0~10】</t>
  </si>
  <si>
    <t>11. 排障逻辑严密无疏漏，解决方案合理能落地。【感受-打分：0~10】</t>
  </si>
  <si>
    <t>知识与概念</t>
  </si>
  <si>
    <t>12. 涉及的产品知识、最新政策（如 NPI）运用正确，无张冠李戴、无凭空猜测（“好像、可能不行”）。【感受-0~10】</t>
  </si>
  <si>
    <t>13. 能将复杂机制通俗化。能够运用“场景化比喻”向用户清晰讲解底层逻辑，功能使用好处传递清晰，信服力强。涉及到演示，演示清晰准确。【感受-0~10】</t>
  </si>
  <si>
    <t>操作与反馈</t>
  </si>
  <si>
    <t>14.有操作和演示引导顾客，并适时关注顾客的操作，在顾客的关键操作中给予状态反馈（如了解顾客目前在什么进度）。【流程-有/无】</t>
  </si>
  <si>
    <t>15. 操作演示清晰准确，关注顾客操作的节奏【感受-0~10】</t>
  </si>
  <si>
    <t>邀请顾客再次惠顾</t>
  </si>
  <si>
    <t>服务收尾</t>
  </si>
  <si>
    <t>推荐资源，结束服务</t>
  </si>
  <si>
    <t>16.确认问题解决，如有其他资源可推荐。邀请顾客对服务评价、并礼貌结束服务。【流程-有/无】</t>
  </si>
  <si>
    <t>小计</t>
  </si>
  <si>
    <t>打分说明</t>
  </si>
  <si>
    <t>0~4分：与行为标准有很大差距，顾客感受非常不好</t>
  </si>
  <si>
    <t>5~7分：部分表现未能达到行为标准，顾客感受到缺憾和不足</t>
  </si>
  <si>
    <t>8分：符合行为标准，可以让顾客满意</t>
  </si>
  <si>
    <t>9-10分：展现出熟练和专业程度，部分表现甚至超越顾客预期，达到教科书级别</t>
  </si>
  <si>
    <t>综合评定</t>
  </si>
  <si>
    <t>评定维度</t>
  </si>
  <si>
    <t>说明</t>
  </si>
  <si>
    <t>总分</t>
  </si>
  <si>
    <t>排障逻辑清晰有条理，诊断准确，方案真实有效可行，能给出行之有效的替代方案。</t>
  </si>
  <si>
    <t>倾听不打断、冷静化解情绪、感同身受共情缓冲、结构化探询与复述确认焦点。</t>
  </si>
  <si>
    <t>流程完整（10%）</t>
  </si>
  <si>
    <t>标准化开场招呼、提问意图管理、核心痛点对齐、风险告知与隐私合规、状态反馈与服务收尾</t>
  </si>
  <si>
    <t>考官点评</t>
  </si>
  <si>
    <t>维度</t>
  </si>
  <si>
    <t>序号</t>
  </si>
  <si>
    <t>0-4分</t>
  </si>
  <si>
    <t>5-7分</t>
  </si>
  <si>
    <t>8分</t>
  </si>
  <si>
    <t>9-10分</t>
  </si>
  <si>
    <t>与行为标准有较大差距，顾客感受非常不好</t>
  </si>
  <si>
    <t>部分表现未能达到行为标准，顾客感受到缺憾和不足</t>
  </si>
  <si>
    <t>符合行为标准，可以让顾客满意</t>
  </si>
  <si>
    <t>展现出熟练和专业程度，部分表现甚至超越顾客预期</t>
  </si>
  <si>
    <t>服务技巧</t>
  </si>
  <si>
    <t>【2】</t>
  </si>
  <si>
    <t>语态生硬，压迫感强</t>
  </si>
  <si>
    <t>语言平淡，偶有生硬</t>
  </si>
  <si>
    <t>表达礼貌，沟通自然</t>
  </si>
  <si>
    <t>语态典雅，专业从容</t>
  </si>
  <si>
    <t>使用生硬、命令或压迫性词汇，让顾客感到不适。</t>
  </si>
  <si>
    <t>使用了基本礼貌用语，但沟通拘谨或说教感。</t>
  </si>
  <si>
    <t>语言礼貌规范，表达自然得体。</t>
  </si>
  <si>
    <t>展现出专业自信与教练温度，语言得体亲和。</t>
  </si>
  <si>
    <t>【4】</t>
  </si>
  <si>
    <t>忽略情绪，说教冷漠</t>
  </si>
  <si>
    <t>共情生硬，流于形式</t>
  </si>
  <si>
    <t>理解接纳，适当缓冲</t>
  </si>
  <si>
    <t>共情自然，极具陪伴</t>
  </si>
  <si>
    <t>共情自然贴切，提供出色的情绪价值，让顾客感到被倾听与尊重。</t>
  </si>
  <si>
    <t>【6】</t>
  </si>
  <si>
    <t>连珠炮提问，指向混乱</t>
  </si>
  <si>
    <t>提问偏多，缺乏节奏</t>
  </si>
  <si>
    <t>思路清晰，按步提问</t>
  </si>
  <si>
    <t>逻辑递进，高效启发</t>
  </si>
  <si>
    <t>探询思路混乱，指向不明；连续抛出多个问题逼问顾客。</t>
  </si>
  <si>
    <t>探询缺乏逻辑递进，问题多且绕弯，未有效预留回答时间，让顾客感到疲惫。</t>
  </si>
  <si>
    <t>提问极具有递进感与启发性，引导自然通俗有效率，且迅速收窄故障范围。</t>
  </si>
  <si>
    <t>【8】</t>
  </si>
  <si>
    <t>指责顾客，主观断定</t>
  </si>
  <si>
    <t>确认模糊，对齐不足</t>
  </si>
  <si>
    <t>复述确认，焦点对齐</t>
  </si>
  <si>
    <t>精准定位，共识清晰</t>
  </si>
  <si>
    <t>方案合理</t>
  </si>
  <si>
    <t>【10】</t>
  </si>
  <si>
    <t>拒绝提供，生硬甩锅</t>
  </si>
  <si>
    <t>方案生硬，缺乏解释</t>
  </si>
  <si>
    <t>方案可行，交代步骤</t>
  </si>
  <si>
    <t>方案完备，导向清晰</t>
  </si>
  <si>
    <t>【11】</t>
  </si>
  <si>
    <t>解决方案（排障逻辑）</t>
  </si>
  <si>
    <t>逻辑混乱，盲目排查</t>
  </si>
  <si>
    <t>逻辑脱节，存在疏漏</t>
  </si>
  <si>
    <t>逻辑清晰，方案落地</t>
  </si>
  <si>
    <t>逻辑严密，高效排障</t>
  </si>
  <si>
    <t>排障思路混乱，试错盲目；未解决问题就终止排查。</t>
  </si>
  <si>
    <t>知识专业</t>
  </si>
  <si>
    <t>【12】</t>
  </si>
  <si>
    <t>概念错误，凭空猜测</t>
  </si>
  <si>
    <t>概念模糊，不够自信</t>
  </si>
  <si>
    <t>知识准确，无原则错误</t>
  </si>
  <si>
    <t>严谨精通，说服力强</t>
  </si>
  <si>
    <t>产品知识/政策出现严重错误；凭空猜测（“好像不行”）。</t>
  </si>
  <si>
    <t>核心产品知识与政策（如 NPI）讲解、运用准确无原则性错误。(允许偶有口误，或极冷门参数短暂查验)</t>
  </si>
  <si>
    <t>知识掌握扎实严谨，政策熟悉，表达自信具极强说服力。</t>
  </si>
  <si>
    <t>【13】</t>
  </si>
  <si>
    <t>充斥术语，讲解晦涩</t>
  </si>
  <si>
    <t>转化一般，偏说明书</t>
  </si>
  <si>
    <t>通俗易懂，举例实用</t>
  </si>
  <si>
    <t>场景比喻，深入浅出</t>
  </si>
  <si>
    <t>【15】</t>
  </si>
  <si>
    <t>演示含糊，节奏失控</t>
  </si>
  <si>
    <t>演示偏快，关注欠佳</t>
  </si>
  <si>
    <t>演示清晰，关注节奏</t>
  </si>
  <si>
    <t>演示精准，同频互动</t>
  </si>
  <si>
    <t>操作演示含糊混乱，完全无视顾客的跟进节奏。</t>
  </si>
  <si>
    <t>演示步骤部分清晰，节奏偏快，对顾客的跟随关注不够。</t>
  </si>
  <si>
    <t>演示步骤基本清楚，节奏适中，能关注顾客的操作节奏并给予反馈。(允许中间有短暂停顿，不影响整体跟随)</t>
  </si>
  <si>
    <t>操作演示赏心悦目，精准掌控引导节奏，与顾客实现极佳同频。</t>
  </si>
  <si>
    <t>替代方案周密贴切，后续流程交代非常清晰，化被动为主动。如在受限情况下主动提供 1~2 种极具可行性的替代路径；不仅交代清晰后续解决步骤，更主动提供长效预防建议或规避二次踩坑方案。</t>
    <phoneticPr fontId="13" type="noConversion"/>
  </si>
  <si>
    <t>流程考核项</t>
  </si>
  <si>
    <t>判【有（10分）】的最低闭环要求</t>
  </si>
  <si>
    <t>判【无（0分）】的典型判定场景</t>
  </si>
  <si>
    <t>【1】</t>
  </si>
  <si>
    <t>招呼 / 自我介绍</t>
  </si>
  <si>
    <r>
      <t>必须包含：</t>
    </r>
    <r>
      <rPr>
        <sz val="14"/>
        <color theme="1"/>
        <rFont val="System-ui"/>
      </rPr>
      <t>礼貌问候 + 自我介绍 + 私教身份表明</t>
    </r>
    <r>
      <rPr>
        <sz val="14"/>
        <color theme="1"/>
        <rFont val="System-ui"/>
      </rPr>
      <t>（如“您好，我是今天的私教 Coach…”）。</t>
    </r>
  </si>
  <si>
    <t>缺失自我介绍，仅机械询问“有什么问题”。</t>
  </si>
  <si>
    <t>【3】</t>
  </si>
  <si>
    <t>倾听 / 情绪承接技能</t>
  </si>
  <si>
    <r>
      <t>面对顾客的焦虑、抱怨或急躁时，</t>
    </r>
    <r>
      <rPr>
        <sz val="14"/>
        <color theme="1"/>
        <rFont val="System-ui"/>
      </rPr>
      <t>全程不打断、不辩解、不急躁</t>
    </r>
    <r>
      <rPr>
        <sz val="14"/>
        <color theme="1"/>
        <rFont val="System-ui"/>
      </rPr>
      <t>，有清晰的倾听与情绪降温动作。</t>
    </r>
  </si>
  <si>
    <t>在顾客陈述问题时强行打断、急于反驳或表现出不耐烦。</t>
  </si>
  <si>
    <t>【5】</t>
  </si>
  <si>
    <t>探询 / 说明提问意图</t>
  </si>
  <si>
    <r>
      <t>在排查提问前，</t>
    </r>
    <r>
      <rPr>
        <sz val="14"/>
        <color theme="1"/>
        <rFont val="System-ui"/>
      </rPr>
      <t>主动告知提问目的</t>
    </r>
    <r>
      <rPr>
        <sz val="14"/>
        <color theme="1"/>
        <rFont val="System-ui"/>
      </rPr>
      <t>（如“为了帮您快速锁定原因，我先向您了解几个使用细节…”）。</t>
    </r>
  </si>
  <si>
    <t>突击式提问，未做意图管理，让顾客产生被“盘问”的压迫感。</t>
  </si>
  <si>
    <t>【7】</t>
  </si>
  <si>
    <t>确认 / 对齐核心痛点</t>
  </si>
  <si>
    <r>
      <t>通过“复述+确认”的方式，</t>
    </r>
    <r>
      <rPr>
        <sz val="14"/>
        <color theme="1"/>
        <rFont val="System-ui"/>
      </rPr>
      <t>口头与顾客共同锁定本次答疑必须解决的核心问题</t>
    </r>
    <r>
      <rPr>
        <sz val="14"/>
        <color theme="1"/>
        <rFont val="System-ui"/>
      </rPr>
      <t>并达成共识。</t>
    </r>
  </si>
  <si>
    <t>未与顾客对齐问题焦点，凭借主观臆断直接开始排查。</t>
  </si>
  <si>
    <t>【9】</t>
  </si>
  <si>
    <t>方案 / 风险与隐私合规</t>
  </si>
  <si>
    <r>
      <t>涉及可能导致数据变化的动作（抹掉/升级/重置/退出账号）前</t>
    </r>
    <r>
      <rPr>
        <sz val="14"/>
        <color theme="1"/>
        <rFont val="System-ui"/>
      </rPr>
      <t>明确做风险告知与备份提示</t>
    </r>
    <r>
      <rPr>
        <sz val="14"/>
        <color theme="1"/>
        <rFont val="System-ui"/>
      </rPr>
      <t>；涉及输密码时</t>
    </r>
    <r>
      <rPr>
        <sz val="14"/>
        <color theme="1"/>
        <rFont val="System-ui"/>
      </rPr>
      <t>主动避让提醒</t>
    </r>
    <r>
      <rPr>
        <sz val="14"/>
        <color theme="1"/>
        <rFont val="System-ui"/>
      </rPr>
      <t>。</t>
    </r>
  </si>
  <si>
    <t>涉及关键重置/抹掉时完全不提醒备份风险；或直接窥视顾客输入密码。</t>
  </si>
  <si>
    <t>【14】</t>
  </si>
  <si>
    <t>操作 / 状态反馈</t>
  </si>
  <si>
    <r>
      <t>在排障和演示中，</t>
    </r>
    <r>
      <rPr>
        <sz val="14"/>
        <color theme="1"/>
        <rFont val="System-ui"/>
      </rPr>
      <t>实时跟进并确认顾客的当前进度</t>
    </r>
    <r>
      <rPr>
        <sz val="14"/>
        <color theme="1"/>
        <rFont val="System-ui"/>
      </rPr>
      <t>（如“您现在屏幕显示的是哪一步？”）。</t>
    </r>
  </si>
  <si>
    <t>私教自己埋头操作或盲目下达指令，完全不确认顾客的跟随状态。</t>
  </si>
  <si>
    <t>【16】</t>
  </si>
  <si>
    <t>收尾 / 确认解决与道别</t>
  </si>
  <si>
    <r>
      <t>口头确认顾客问题是否已彻底解决</t>
    </r>
    <r>
      <rPr>
        <sz val="14"/>
        <color theme="1"/>
        <rFont val="System-ui"/>
      </rPr>
      <t>，按需推荐支持资源/Apple Support，礼貌道别闭环。</t>
    </r>
  </si>
  <si>
    <t>问题解决后直接冷场或草草结束，未口头确认顾客是否满意/是否还有其他疑问。</t>
  </si>
  <si>
    <t>解决方案落地性（30%）</t>
    <phoneticPr fontId="13" type="noConversion"/>
  </si>
  <si>
    <t>知识准确专业性（35%）</t>
    <phoneticPr fontId="13" type="noConversion"/>
  </si>
  <si>
    <t>服务技巧（25%）</t>
    <phoneticPr fontId="13" type="noConversion"/>
  </si>
  <si>
    <t>产品知识与政策描述准确，复杂原理通俗化与场景化描述能力，与启发式价值，演示无误。</t>
    <phoneticPr fontId="13" type="noConversion"/>
  </si>
  <si>
    <t>完全忽略顾客的情绪表达，直接冷冰冰说教或尴尬。 或者出现换位思考过度，顺着顾客瞎猜硬件质量问题的场景。</t>
    <phoneticPr fontId="13" type="noConversion"/>
  </si>
  <si>
    <t>尝试共情但话术生硬尴尬（如生硬复读“理解您”），缺乏真诚陪伴感。或者共情用词欠妥或缺乏专业中立性，主动对设备质量/硬件损坏做负面推测，人为引发或放大了顾客对产品品质的恐慌。</t>
    <phoneticPr fontId="13" type="noConversion"/>
  </si>
  <si>
    <t>无明确解决方案提供，且受限时直接拒绝；或盲目推脱给 400 或售后诊断。</t>
    <phoneticPr fontId="13" type="noConversion"/>
  </si>
  <si>
    <t>有解决方案，但不清晰不落地；或者受限时提供了替代方案但解释模糊，后续步骤交代不清。</t>
    <phoneticPr fontId="13" type="noConversion"/>
  </si>
  <si>
    <t>能给实质性解决方案，且有落地实操性；受限时能主动给可行替代方案，且能清楚描述方案。（允许替代路径偏常规、防范建议相对基础，但方案切实可行、后续步骤交代清楚，顾客能顺利执行）。</t>
    <phoneticPr fontId="13" type="noConversion"/>
  </si>
  <si>
    <t>探询思路基本清晰，有递进收窄问题范围的意识，也能按“倾听-确认-再提问”逻辑推进。（允许提问话术偏向标准排查套路、偶有连续发问，但节奏平稳，成功锁定了故障焦点。）。</t>
    <phoneticPr fontId="13" type="noConversion"/>
  </si>
  <si>
    <t>定位问题指责顾客；或者未经确认就主观断定故障原因。</t>
    <phoneticPr fontId="13" type="noConversion"/>
  </si>
  <si>
    <t>环节/考核点</t>
    <phoneticPr fontId="13" type="noConversion"/>
  </si>
  <si>
    <t>招呼顾客（礼貌温度）</t>
    <phoneticPr fontId="13" type="noConversion"/>
  </si>
  <si>
    <t>倾听共情（感同身受与缓冲）</t>
    <phoneticPr fontId="13" type="noConversion"/>
  </si>
  <si>
    <t>能自然表达理解与接纳，使用缓冲表达感同身受，给予心理陪伴。（如“确实，这放在谁身上都会很着急，我们一步步来帮您解决”）</t>
    <phoneticPr fontId="13" type="noConversion"/>
  </si>
  <si>
    <t>结构化探询（思路指向明确）</t>
    <phoneticPr fontId="13" type="noConversion"/>
  </si>
  <si>
    <t>确认痛点（复述确认共识）</t>
    <phoneticPr fontId="13" type="noConversion"/>
  </si>
  <si>
    <t>探询后未有效复述，或者机械复述，实际与顾客对齐的问题焦点存在偏差。</t>
    <phoneticPr fontId="13" type="noConversion"/>
  </si>
  <si>
    <t>定位清晰不指责，复述得体，能使用“复述+确认”与顾客达成解决共识。</t>
    <phoneticPr fontId="13" type="noConversion"/>
  </si>
  <si>
    <t>精准提炼痛点，复述很清晰得体，与顾客达成高度解决共识。</t>
    <phoneticPr fontId="13" type="noConversion"/>
  </si>
  <si>
    <t>解决方案（实质性方案/替代方案）</t>
    <phoneticPr fontId="13" type="noConversion"/>
  </si>
  <si>
    <t>知识概念（准确度）What</t>
    <phoneticPr fontId="13" type="noConversion"/>
  </si>
  <si>
    <t>知识概念（机制通俗化与场景比喻）Why</t>
    <phoneticPr fontId="13" type="noConversion"/>
  </si>
  <si>
    <t>操作反馈（演示准确与节奏）How</t>
    <phoneticPr fontId="13" type="noConversion"/>
  </si>
  <si>
    <t>排障主线思路正确，解决方案合理可行，能帮顾客根本解决问题   (允许个别小步骤顺序颠倒，但不影响最终解决)；排障次序规范，关键排障动作前能先告知操作意图（先交待目的，再指导操作）。遵循‘告知排障意图与预期 ➡️ 引导执行操作 ➡️ 确认状态反馈’的正向闭环。</t>
    <phoneticPr fontId="13" type="noConversion"/>
  </si>
  <si>
    <t xml:space="preserve">  排障逻辑严丝合缝，排障次序清晰、导向与掌控力极佳，操作意图交代极其自然明了，诊断迅速精准，方案一针见血，长效预防（如防二次误触）周密。</t>
    <phoneticPr fontId="13" type="noConversion"/>
  </si>
  <si>
    <t>过度使用技术术语，讲解晦涩混乱，无法传达益处与底层逻辑</t>
    <phoneticPr fontId="13" type="noConversion"/>
  </si>
  <si>
    <t>对知识点表述含糊不自信；个别次要概念表述不准确。</t>
    <phoneticPr fontId="13" type="noConversion"/>
  </si>
  <si>
    <t xml:space="preserve"> 尝试解释底层逻辑但偏向“读说明书”，缺乏贴切场景；或者缺乏前置主动性，未主动向顾客解释故障出现的底层原因与功能设计初衷，经顾客追问后才被动应答解释。</t>
    <phoneticPr fontId="13" type="noConversion"/>
  </si>
  <si>
    <t>场景化比喻精准生动，将复杂机制讲得透彻明了，信服力极强。主动引领顾客了解底层意识强， 给顾客带来极大的启发感与安全感。</t>
    <phoneticPr fontId="13" type="noConversion"/>
  </si>
  <si>
    <t xml:space="preserve">  排障主线大致对，但步骤存在明显跳跃、无效试错多，或仅治标未治本（缺失长效预防导致二次踩坑）。同时未做排障预期管理（未说明操作意图与预期目的，直接下达动作指令，导致顾客不明所以、产生盲目跟操作的被动感。）</t>
    <phoneticPr fontId="13" type="noConversion"/>
  </si>
  <si>
    <t>能用通俗易懂语言讲清底层逻辑，能用常见生活场景举例说明益处。且在指导顾客操作前或同步时，能主动向顾客解释底层逻辑与功能益处/设计初衷（如为什么会黑屏发声/盲人幕帘屏/这是无障碍保护模式等）。（允许比喻偏基础、益处说明偏大众化，但讲清了原理与保护初衷，顾客能听懂）。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</si>
</sst>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indexed="8"/>
      <name val="微软雅黑"/>
      <family val="2"/>
      <charset val="134"/>
    </font>
    <font>
      <b/>
      <sz val="14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4"/>
      <name val="微软雅黑"/>
      <family val="2"/>
      <charset val="134"/>
    </font>
    <font>
      <sz val="9"/>
      <name val="等线"/>
      <family val="4"/>
      <charset val="134"/>
      <scheme val="minor"/>
    </font>
    <font>
      <sz val="14"/>
      <color theme="1"/>
      <name val="System-ui"/>
    </font>
    <font>
      <sz val="14"/>
      <color theme="1"/>
      <name val="System-ui"/>
    </font>
    <font>
      <sz val="12"/>
      <color theme="1"/>
      <name val="等线"/>
      <family val="4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b/>
      <i/>
      <sz val="14"/>
      <color theme="1"/>
      <name val="等线"/>
      <family val="4"/>
      <charset val="134"/>
      <scheme val="minor"/>
    </font>
    <font>
      <sz val="14"/>
      <color theme="1"/>
      <name val="System-ui"/>
    </font>
    <font>
      <sz val="14"/>
      <color theme="1"/>
      <name val="System-ui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>
      <alignment vertical="center"/>
    </xf>
  </cellStyleXfs>
  <cellXfs count="12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9" fontId="6" fillId="9" borderId="1" xfId="1" applyFont="1" applyFill="1" applyBorder="1" applyAlignment="1">
      <alignment horizontal="center" vertical="center" wrapText="1"/>
    </xf>
    <xf numFmtId="9" fontId="6" fillId="10" borderId="1" xfId="1" applyFont="1" applyFill="1" applyBorder="1" applyAlignment="1">
      <alignment horizontal="center" vertical="center" wrapText="1"/>
    </xf>
    <xf numFmtId="9" fontId="6" fillId="9" borderId="8" xfId="1" applyFont="1" applyFill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9" fontId="6" fillId="0" borderId="14" xfId="1" applyFont="1" applyBorder="1" applyAlignment="1">
      <alignment horizontal="center" vertical="center" wrapText="1"/>
    </xf>
    <xf numFmtId="176" fontId="6" fillId="0" borderId="14" xfId="0" applyNumberFormat="1" applyFont="1" applyBorder="1" applyAlignment="1">
      <alignment horizontal="center" vertical="center" wrapText="1"/>
    </xf>
    <xf numFmtId="9" fontId="6" fillId="9" borderId="14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9" fontId="6" fillId="0" borderId="8" xfId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9" fontId="6" fillId="10" borderId="8" xfId="1" applyFont="1" applyFill="1" applyBorder="1" applyAlignment="1">
      <alignment horizontal="center" vertical="center" wrapText="1"/>
    </xf>
    <xf numFmtId="9" fontId="6" fillId="11" borderId="8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vertical="center"/>
    </xf>
    <xf numFmtId="9" fontId="10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9" fontId="4" fillId="0" borderId="8" xfId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 wrapText="1"/>
    </xf>
    <xf numFmtId="9" fontId="12" fillId="14" borderId="8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49" fontId="12" fillId="12" borderId="20" xfId="0" applyNumberFormat="1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49" fontId="12" fillId="13" borderId="13" xfId="0" applyNumberFormat="1" applyFont="1" applyFill="1" applyBorder="1" applyAlignment="1">
      <alignment horizontal="left" vertical="center" wrapText="1"/>
    </xf>
    <xf numFmtId="49" fontId="12" fillId="13" borderId="10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9" fillId="12" borderId="0" xfId="0" applyFont="1" applyFill="1" applyAlignment="1">
      <alignment horizontal="center" vertical="center" wrapText="1"/>
    </xf>
    <xf numFmtId="49" fontId="12" fillId="4" borderId="8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0" xfId="0" applyFont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8" fillId="0" borderId="28" xfId="0" applyFont="1" applyBorder="1" applyAlignment="1">
      <alignment horizontal="center" vertical="center" wrapText="1"/>
    </xf>
    <xf numFmtId="0" fontId="0" fillId="0" borderId="28" xfId="0" applyBorder="1"/>
    <xf numFmtId="49" fontId="9" fillId="12" borderId="7" xfId="0" applyNumberFormat="1" applyFont="1" applyFill="1" applyBorder="1" applyAlignment="1">
      <alignment horizontal="left" vertical="center" wrapText="1"/>
    </xf>
    <xf numFmtId="0" fontId="0" fillId="0" borderId="11" xfId="0" applyBorder="1"/>
    <xf numFmtId="1" fontId="6" fillId="0" borderId="34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35" xfId="0" applyBorder="1"/>
    <xf numFmtId="0" fontId="8" fillId="0" borderId="3" xfId="0" applyFont="1" applyBorder="1" applyAlignment="1">
      <alignment horizontal="center" vertical="center" wrapText="1"/>
    </xf>
    <xf numFmtId="0" fontId="0" fillId="0" borderId="16" xfId="0" applyBorder="1"/>
    <xf numFmtId="0" fontId="6" fillId="0" borderId="1" xfId="0" applyFont="1" applyBorder="1" applyAlignment="1">
      <alignment horizontal="center" vertical="center" wrapText="1"/>
    </xf>
    <xf numFmtId="0" fontId="0" fillId="0" borderId="4" xfId="0" applyBorder="1"/>
    <xf numFmtId="0" fontId="6" fillId="0" borderId="29" xfId="0" applyFont="1" applyBorder="1" applyAlignment="1">
      <alignment horizontal="center" vertical="center" wrapText="1"/>
    </xf>
    <xf numFmtId="0" fontId="0" fillId="0" borderId="17" xfId="0" applyBorder="1"/>
    <xf numFmtId="0" fontId="6" fillId="0" borderId="25" xfId="0" applyFont="1" applyBorder="1" applyAlignment="1">
      <alignment horizontal="center" vertical="center" wrapText="1"/>
    </xf>
    <xf numFmtId="0" fontId="0" fillId="0" borderId="27" xfId="0" applyBorder="1"/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0" borderId="31" xfId="0" applyBorder="1"/>
    <xf numFmtId="0" fontId="0" fillId="0" borderId="26" xfId="0" applyBorder="1"/>
    <xf numFmtId="0" fontId="0" fillId="0" borderId="32" xfId="0" applyBorder="1"/>
    <xf numFmtId="0" fontId="0" fillId="0" borderId="33" xfId="0" applyBorder="1"/>
    <xf numFmtId="0" fontId="0" fillId="0" borderId="23" xfId="0" applyBorder="1"/>
    <xf numFmtId="49" fontId="11" fillId="13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8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4" xfId="0" applyBorder="1"/>
    <xf numFmtId="0" fontId="8" fillId="0" borderId="18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6" fillId="0" borderId="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4" fillId="0" borderId="0" xfId="0" applyFont="1"/>
    <xf numFmtId="0" fontId="0" fillId="0" borderId="0" xfId="0"/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31"/>
  <sheetViews>
    <sheetView showGridLines="0" zoomScale="91" zoomScaleNormal="70" workbookViewId="0">
      <pane xSplit="3" ySplit="2" topLeftCell="D16" activePane="bottomRight" state="frozen"/>
      <selection pane="topRight"/>
      <selection pane="bottomLeft"/>
      <selection pane="bottomRight" activeCell="E31" sqref="E31:O31"/>
    </sheetView>
  </sheetViews>
  <sheetFormatPr baseColWidth="10" defaultColWidth="8.83203125" defaultRowHeight="17"/>
  <cols>
    <col min="1" max="1" width="3.83203125" style="2" customWidth="1"/>
    <col min="2" max="2" width="15.83203125" style="3" customWidth="1"/>
    <col min="3" max="3" width="24.83203125" style="2" customWidth="1"/>
    <col min="4" max="4" width="32.83203125" style="3" customWidth="1"/>
    <col min="5" max="5" width="82.33203125" style="2" customWidth="1"/>
    <col min="6" max="6" width="20.6640625" style="29" customWidth="1"/>
    <col min="7" max="9" width="19.83203125" style="2" customWidth="1"/>
    <col min="10" max="10" width="24" style="2" customWidth="1"/>
    <col min="11" max="11" width="21.5" style="2" customWidth="1"/>
    <col min="12" max="13" width="20.83203125" style="2" customWidth="1"/>
    <col min="14" max="14" width="15.5" style="2" customWidth="1"/>
    <col min="15" max="15" width="16.5" style="2" customWidth="1"/>
    <col min="16" max="16" width="8.83203125" style="2" customWidth="1"/>
    <col min="17" max="16384" width="8.83203125" style="2"/>
  </cols>
  <sheetData>
    <row r="1" spans="2:15" ht="54.5" customHeight="1">
      <c r="B1" s="4" t="s">
        <v>0</v>
      </c>
      <c r="C1" s="11"/>
      <c r="D1" s="12"/>
      <c r="E1" s="11"/>
      <c r="F1" s="62"/>
    </row>
    <row r="2" spans="2:15" s="29" customFormat="1" ht="43" customHeight="1">
      <c r="B2" s="30" t="s">
        <v>1</v>
      </c>
      <c r="C2" s="31" t="s">
        <v>2</v>
      </c>
      <c r="D2" s="30" t="s">
        <v>3</v>
      </c>
      <c r="E2" s="32" t="s">
        <v>4</v>
      </c>
      <c r="F2" s="32" t="s">
        <v>5</v>
      </c>
      <c r="G2" s="30" t="s">
        <v>6</v>
      </c>
      <c r="H2" s="43" t="s">
        <v>7</v>
      </c>
      <c r="I2" s="43" t="s">
        <v>8</v>
      </c>
      <c r="J2" s="33" t="s">
        <v>9</v>
      </c>
      <c r="K2" s="33" t="s">
        <v>10</v>
      </c>
      <c r="L2" s="34" t="s">
        <v>11</v>
      </c>
      <c r="M2" s="34" t="s">
        <v>12</v>
      </c>
      <c r="N2" s="35" t="s">
        <v>13</v>
      </c>
      <c r="O2" s="35" t="s">
        <v>14</v>
      </c>
    </row>
    <row r="3" spans="2:15" s="29" customFormat="1" ht="42.5" customHeight="1">
      <c r="B3" s="80" t="s">
        <v>15</v>
      </c>
      <c r="C3" s="103" t="s">
        <v>16</v>
      </c>
      <c r="D3" s="91" t="s">
        <v>17</v>
      </c>
      <c r="E3" s="60" t="s">
        <v>18</v>
      </c>
      <c r="F3" s="64" t="s">
        <v>19</v>
      </c>
      <c r="G3" s="66">
        <f>IF(F3="有",10,0)</f>
        <v>10</v>
      </c>
      <c r="H3" s="25"/>
      <c r="I3" s="25"/>
      <c r="J3" s="26"/>
      <c r="K3" s="27"/>
      <c r="L3" s="26"/>
      <c r="M3" s="27"/>
      <c r="N3" s="28">
        <v>0.05</v>
      </c>
      <c r="O3" s="27">
        <f>G3*N3</f>
        <v>0.5</v>
      </c>
    </row>
    <row r="4" spans="2:15" s="29" customFormat="1" ht="49" customHeight="1">
      <c r="B4" s="81"/>
      <c r="C4" s="104"/>
      <c r="D4" s="92"/>
      <c r="E4" s="61" t="s">
        <v>20</v>
      </c>
      <c r="F4" s="64">
        <v>10</v>
      </c>
      <c r="G4" s="66">
        <f>F4</f>
        <v>10</v>
      </c>
      <c r="H4" s="42"/>
      <c r="I4" s="42"/>
      <c r="J4" s="36"/>
      <c r="K4" s="37"/>
      <c r="L4" s="19">
        <v>0.1</v>
      </c>
      <c r="M4" s="17">
        <f>G4*L4</f>
        <v>1</v>
      </c>
      <c r="N4" s="36"/>
      <c r="O4" s="27"/>
    </row>
    <row r="5" spans="2:15" ht="51" customHeight="1">
      <c r="B5" s="105" t="s">
        <v>21</v>
      </c>
      <c r="C5" s="108" t="s">
        <v>22</v>
      </c>
      <c r="D5" s="23" t="s">
        <v>23</v>
      </c>
      <c r="E5" s="56" t="s">
        <v>24</v>
      </c>
      <c r="F5" s="65" t="s">
        <v>19</v>
      </c>
      <c r="G5" s="66">
        <f>IF(F5="有",10,0)</f>
        <v>10</v>
      </c>
      <c r="H5" s="25"/>
      <c r="I5" s="25"/>
      <c r="J5" s="26"/>
      <c r="K5" s="27"/>
      <c r="L5" s="26"/>
      <c r="M5" s="27"/>
      <c r="N5" s="28">
        <v>0.15</v>
      </c>
      <c r="O5" s="27">
        <f>G5*N5</f>
        <v>1.5</v>
      </c>
    </row>
    <row r="6" spans="2:15" ht="85" customHeight="1">
      <c r="B6" s="106"/>
      <c r="C6" s="106"/>
      <c r="D6" s="44" t="s">
        <v>25</v>
      </c>
      <c r="E6" s="57" t="s">
        <v>26</v>
      </c>
      <c r="F6" s="65">
        <v>10</v>
      </c>
      <c r="G6" s="66">
        <f>F6</f>
        <v>10</v>
      </c>
      <c r="H6" s="25"/>
      <c r="I6" s="25"/>
      <c r="J6" s="26"/>
      <c r="K6" s="27"/>
      <c r="L6" s="19">
        <v>0.3</v>
      </c>
      <c r="M6" s="17">
        <f>G6*L6</f>
        <v>3</v>
      </c>
      <c r="N6" s="27"/>
      <c r="O6" s="27"/>
    </row>
    <row r="7" spans="2:15" ht="50" customHeight="1">
      <c r="B7" s="106"/>
      <c r="C7" s="96" t="s">
        <v>27</v>
      </c>
      <c r="D7" s="89" t="s">
        <v>28</v>
      </c>
      <c r="E7" s="57" t="s">
        <v>29</v>
      </c>
      <c r="F7" s="65" t="s">
        <v>19</v>
      </c>
      <c r="G7" s="66">
        <f>IF(F7="有",10,0)</f>
        <v>10</v>
      </c>
      <c r="H7" s="42"/>
      <c r="I7" s="47"/>
      <c r="J7" s="36"/>
      <c r="K7" s="37"/>
      <c r="L7" s="37"/>
      <c r="M7" s="17"/>
      <c r="N7" s="18">
        <v>0.15</v>
      </c>
      <c r="O7" s="27">
        <f>G7*N7</f>
        <v>1.5</v>
      </c>
    </row>
    <row r="8" spans="2:15" ht="55" customHeight="1">
      <c r="B8" s="106"/>
      <c r="C8" s="88"/>
      <c r="D8" s="90"/>
      <c r="E8" s="57" t="s">
        <v>30</v>
      </c>
      <c r="F8" s="65">
        <v>10</v>
      </c>
      <c r="G8" s="66">
        <f>F8</f>
        <v>10</v>
      </c>
      <c r="H8" s="42"/>
      <c r="I8" s="47"/>
      <c r="J8" s="16"/>
      <c r="K8" s="17"/>
      <c r="L8" s="19">
        <v>0.4</v>
      </c>
      <c r="M8" s="17">
        <f>G8*L8</f>
        <v>4</v>
      </c>
      <c r="N8" s="17"/>
      <c r="O8" s="27"/>
    </row>
    <row r="9" spans="2:15" ht="55" customHeight="1">
      <c r="B9" s="106"/>
      <c r="C9" s="88"/>
      <c r="D9" s="113" t="s">
        <v>31</v>
      </c>
      <c r="E9" s="57" t="s">
        <v>32</v>
      </c>
      <c r="F9" s="65" t="s">
        <v>19</v>
      </c>
      <c r="G9" s="66">
        <f>IF(F9="有",10,0)</f>
        <v>10</v>
      </c>
      <c r="H9" s="42"/>
      <c r="I9" s="47"/>
      <c r="J9" s="36"/>
      <c r="K9" s="37"/>
      <c r="L9" s="37"/>
      <c r="M9" s="37"/>
      <c r="N9" s="18">
        <v>0.2</v>
      </c>
      <c r="O9" s="27">
        <f>G9*N9</f>
        <v>2</v>
      </c>
    </row>
    <row r="10" spans="2:15" ht="67" customHeight="1">
      <c r="B10" s="107"/>
      <c r="C10" s="90"/>
      <c r="D10" s="81"/>
      <c r="E10" s="57" t="s">
        <v>33</v>
      </c>
      <c r="F10" s="65">
        <v>10</v>
      </c>
      <c r="G10" s="66">
        <f>F10</f>
        <v>10</v>
      </c>
      <c r="H10" s="42"/>
      <c r="I10" s="45"/>
      <c r="J10" s="16"/>
      <c r="K10" s="17"/>
      <c r="L10" s="38">
        <v>0.2</v>
      </c>
      <c r="M10" s="17">
        <f>G10*L10</f>
        <v>2</v>
      </c>
      <c r="N10" s="17"/>
      <c r="O10" s="27"/>
    </row>
    <row r="11" spans="2:15" ht="67" customHeight="1">
      <c r="B11" s="87" t="s">
        <v>34</v>
      </c>
      <c r="C11" s="95" t="s">
        <v>35</v>
      </c>
      <c r="D11" s="53" t="s">
        <v>36</v>
      </c>
      <c r="E11" s="58" t="s">
        <v>37</v>
      </c>
      <c r="F11" s="64" t="s">
        <v>19</v>
      </c>
      <c r="G11" s="66">
        <f>IF(F11="有",10,0)</f>
        <v>10</v>
      </c>
      <c r="H11" s="42"/>
      <c r="I11" s="47"/>
      <c r="J11" s="36"/>
      <c r="K11" s="37"/>
      <c r="L11" s="17"/>
      <c r="M11" s="17"/>
      <c r="N11" s="20">
        <v>0.15</v>
      </c>
      <c r="O11" s="27">
        <f>G11*N11</f>
        <v>1.5</v>
      </c>
    </row>
    <row r="12" spans="2:15" ht="65" customHeight="1">
      <c r="B12" s="88"/>
      <c r="C12" s="88"/>
      <c r="D12" s="112" t="s">
        <v>38</v>
      </c>
      <c r="E12" s="58" t="s">
        <v>39</v>
      </c>
      <c r="F12" s="64">
        <v>10</v>
      </c>
      <c r="G12" s="66">
        <f>F12</f>
        <v>10</v>
      </c>
      <c r="H12" s="49">
        <v>0.4</v>
      </c>
      <c r="I12" s="48">
        <f>G12*H12</f>
        <v>4</v>
      </c>
      <c r="J12" s="16"/>
      <c r="K12" s="17"/>
      <c r="L12" s="16"/>
      <c r="M12" s="17"/>
      <c r="N12" s="17"/>
      <c r="O12" s="27"/>
    </row>
    <row r="13" spans="2:15" ht="57" customHeight="1">
      <c r="B13" s="88"/>
      <c r="C13" s="88"/>
      <c r="D13" s="107"/>
      <c r="E13" s="58" t="s">
        <v>40</v>
      </c>
      <c r="F13" s="64">
        <v>10</v>
      </c>
      <c r="G13" s="66">
        <f>F13</f>
        <v>10</v>
      </c>
      <c r="H13" s="49">
        <v>0.6</v>
      </c>
      <c r="I13" s="48">
        <f>G13*H13</f>
        <v>6</v>
      </c>
      <c r="J13" s="36"/>
      <c r="K13" s="37"/>
      <c r="L13" s="36"/>
      <c r="M13" s="17"/>
      <c r="N13" s="37"/>
      <c r="O13" s="27"/>
    </row>
    <row r="14" spans="2:15" ht="57" customHeight="1">
      <c r="B14" s="88"/>
      <c r="C14" s="88"/>
      <c r="D14" s="93" t="s">
        <v>41</v>
      </c>
      <c r="E14" s="58" t="s">
        <v>42</v>
      </c>
      <c r="F14" s="64">
        <v>10</v>
      </c>
      <c r="G14" s="66">
        <f>F14</f>
        <v>10</v>
      </c>
      <c r="H14" s="42"/>
      <c r="I14" s="47"/>
      <c r="J14" s="39">
        <v>0.4</v>
      </c>
      <c r="K14" s="17">
        <f>G14*J14</f>
        <v>4</v>
      </c>
      <c r="L14" s="36"/>
      <c r="M14" s="17"/>
      <c r="N14" s="37"/>
      <c r="O14" s="27"/>
    </row>
    <row r="15" spans="2:15" ht="60" customHeight="1">
      <c r="B15" s="88"/>
      <c r="C15" s="88"/>
      <c r="D15" s="94"/>
      <c r="E15" s="58" t="s">
        <v>43</v>
      </c>
      <c r="F15" s="64">
        <v>10</v>
      </c>
      <c r="G15" s="66">
        <f>F15</f>
        <v>10</v>
      </c>
      <c r="H15" s="42"/>
      <c r="I15" s="45"/>
      <c r="J15" s="39">
        <v>0.4</v>
      </c>
      <c r="K15" s="17">
        <f>G15*J15</f>
        <v>4</v>
      </c>
      <c r="L15" s="16"/>
      <c r="M15" s="17"/>
      <c r="N15" s="16"/>
      <c r="O15" s="27"/>
    </row>
    <row r="16" spans="2:15" ht="60" customHeight="1">
      <c r="B16" s="88"/>
      <c r="C16" s="88"/>
      <c r="D16" s="93" t="s">
        <v>44</v>
      </c>
      <c r="E16" s="57" t="s">
        <v>45</v>
      </c>
      <c r="F16" s="65" t="s">
        <v>19</v>
      </c>
      <c r="G16" s="66">
        <f>IF(F16="有",10,0)</f>
        <v>10</v>
      </c>
      <c r="H16" s="42"/>
      <c r="I16" s="55"/>
      <c r="J16" s="55"/>
      <c r="K16" s="17"/>
      <c r="L16" s="36"/>
      <c r="M16" s="37"/>
      <c r="N16" s="20">
        <v>0.15</v>
      </c>
      <c r="O16" s="27">
        <f>G16*N16</f>
        <v>1.5</v>
      </c>
    </row>
    <row r="17" spans="2:15" ht="51" customHeight="1">
      <c r="B17" s="51"/>
      <c r="C17" s="52"/>
      <c r="D17" s="94"/>
      <c r="E17" s="57" t="s">
        <v>46</v>
      </c>
      <c r="F17" s="65">
        <v>10</v>
      </c>
      <c r="G17" s="66">
        <f>F17</f>
        <v>10</v>
      </c>
      <c r="H17" s="42"/>
      <c r="I17" s="47"/>
      <c r="J17" s="39">
        <v>0.2</v>
      </c>
      <c r="K17" s="17">
        <f>G17*J17</f>
        <v>2</v>
      </c>
      <c r="L17" s="36"/>
      <c r="M17" s="37"/>
      <c r="N17" s="16"/>
      <c r="O17" s="27"/>
    </row>
    <row r="18" spans="2:15" ht="64" customHeight="1">
      <c r="B18" s="24" t="s">
        <v>47</v>
      </c>
      <c r="C18" s="24" t="s">
        <v>48</v>
      </c>
      <c r="D18" s="13" t="s">
        <v>49</v>
      </c>
      <c r="E18" s="57" t="s">
        <v>50</v>
      </c>
      <c r="F18" s="65" t="s">
        <v>19</v>
      </c>
      <c r="G18" s="66">
        <f>IF(F18="有",10,0)</f>
        <v>10</v>
      </c>
      <c r="H18" s="42"/>
      <c r="I18" s="47"/>
      <c r="J18" s="40"/>
      <c r="K18" s="40"/>
      <c r="L18" s="16"/>
      <c r="M18" s="17"/>
      <c r="N18" s="18">
        <v>0.15</v>
      </c>
      <c r="O18" s="37">
        <f>G18*N18</f>
        <v>1.5</v>
      </c>
    </row>
    <row r="19" spans="2:15" s="1" customFormat="1" ht="37.25" customHeight="1">
      <c r="B19" s="14"/>
      <c r="C19" s="15"/>
      <c r="D19" s="15"/>
      <c r="E19" s="15"/>
      <c r="F19" s="59"/>
      <c r="G19" s="5" t="s">
        <v>51</v>
      </c>
      <c r="H19" s="46">
        <f t="shared" ref="H19:O19" si="0">SUM(H3:H18)</f>
        <v>1</v>
      </c>
      <c r="I19" s="21">
        <f t="shared" si="0"/>
        <v>10</v>
      </c>
      <c r="J19" s="41">
        <f t="shared" si="0"/>
        <v>1</v>
      </c>
      <c r="K19" s="21">
        <f t="shared" si="0"/>
        <v>10</v>
      </c>
      <c r="L19" s="41">
        <f t="shared" si="0"/>
        <v>1</v>
      </c>
      <c r="M19" s="21">
        <f t="shared" si="0"/>
        <v>10</v>
      </c>
      <c r="N19" s="41">
        <f t="shared" si="0"/>
        <v>1</v>
      </c>
      <c r="O19" s="21">
        <f t="shared" si="0"/>
        <v>10</v>
      </c>
    </row>
    <row r="20" spans="2:15" ht="37.25" customHeight="1">
      <c r="B20" s="6"/>
      <c r="C20" s="6"/>
      <c r="D20" s="7"/>
      <c r="E20" s="7"/>
      <c r="F20" s="6"/>
      <c r="G20" s="8"/>
      <c r="H20" s="8"/>
      <c r="I20" s="8"/>
      <c r="J20" s="8"/>
      <c r="K20" s="8"/>
      <c r="L20" s="8"/>
      <c r="M20" s="8"/>
      <c r="N20" s="8"/>
      <c r="O20" s="8"/>
    </row>
    <row r="21" spans="2:15" ht="24.5" customHeight="1">
      <c r="B21" s="97" t="s">
        <v>52</v>
      </c>
      <c r="C21" s="98"/>
      <c r="D21" s="82" t="s">
        <v>53</v>
      </c>
      <c r="E21" s="83"/>
      <c r="F21" s="63"/>
      <c r="G21" s="8"/>
      <c r="H21" s="8"/>
      <c r="I21" s="8"/>
      <c r="J21" s="8"/>
      <c r="K21" s="8"/>
      <c r="L21" s="8"/>
      <c r="M21" s="8"/>
      <c r="N21" s="8"/>
      <c r="O21" s="8"/>
    </row>
    <row r="22" spans="2:15" ht="24.5" customHeight="1">
      <c r="B22" s="99"/>
      <c r="C22" s="100"/>
      <c r="D22" s="82" t="s">
        <v>54</v>
      </c>
      <c r="E22" s="83"/>
      <c r="F22" s="63"/>
      <c r="G22" s="8"/>
      <c r="H22" s="8"/>
      <c r="I22" s="8"/>
      <c r="J22" s="8"/>
      <c r="K22" s="8"/>
      <c r="L22" s="8"/>
      <c r="M22" s="8"/>
      <c r="N22" s="8"/>
      <c r="O22" s="8"/>
    </row>
    <row r="23" spans="2:15" ht="24.5" customHeight="1">
      <c r="B23" s="99"/>
      <c r="C23" s="100"/>
      <c r="D23" s="82" t="s">
        <v>55</v>
      </c>
      <c r="E23" s="83"/>
      <c r="F23" s="63"/>
      <c r="G23" s="8"/>
      <c r="H23" s="8"/>
      <c r="I23" s="8"/>
      <c r="J23" s="8"/>
      <c r="K23" s="8"/>
      <c r="L23" s="8"/>
      <c r="M23" s="8"/>
      <c r="N23" s="8"/>
      <c r="O23" s="8"/>
    </row>
    <row r="24" spans="2:15" ht="24.5" customHeight="1">
      <c r="B24" s="101"/>
      <c r="C24" s="102"/>
      <c r="D24" s="82" t="s">
        <v>56</v>
      </c>
      <c r="E24" s="83"/>
      <c r="F24" s="63"/>
      <c r="G24" s="8"/>
      <c r="H24" s="8"/>
      <c r="I24" s="8"/>
      <c r="J24" s="8"/>
      <c r="K24" s="8"/>
      <c r="L24" s="8"/>
      <c r="M24" s="8"/>
      <c r="N24" s="8"/>
      <c r="O24" s="8"/>
    </row>
    <row r="26" spans="2:15" ht="39.5" customHeight="1">
      <c r="B26" s="97" t="s">
        <v>57</v>
      </c>
      <c r="C26" s="98"/>
      <c r="D26" s="22" t="s">
        <v>58</v>
      </c>
      <c r="E26" s="9" t="s">
        <v>59</v>
      </c>
      <c r="F26" s="54"/>
      <c r="G26" s="115"/>
      <c r="H26" s="110"/>
      <c r="I26" s="110"/>
      <c r="J26" s="110"/>
      <c r="K26" s="110"/>
      <c r="L26" s="110"/>
      <c r="M26" s="110"/>
      <c r="N26" s="111"/>
      <c r="O26" s="9" t="s">
        <v>60</v>
      </c>
    </row>
    <row r="27" spans="2:15" ht="49.5" customHeight="1">
      <c r="B27" s="99"/>
      <c r="C27" s="100"/>
      <c r="D27" s="44" t="s">
        <v>173</v>
      </c>
      <c r="E27" s="50" t="s">
        <v>61</v>
      </c>
      <c r="F27" s="44"/>
      <c r="G27" s="84">
        <f>I19*300%</f>
        <v>30</v>
      </c>
      <c r="H27" s="85"/>
      <c r="I27" s="85"/>
      <c r="J27" s="85"/>
      <c r="K27" s="85"/>
      <c r="L27" s="85"/>
      <c r="M27" s="85"/>
      <c r="N27" s="86"/>
      <c r="O27" s="114">
        <f>SUM(G27:G30)</f>
        <v>100</v>
      </c>
    </row>
    <row r="28" spans="2:15" ht="49.5" customHeight="1">
      <c r="B28" s="99"/>
      <c r="C28" s="100"/>
      <c r="D28" s="44" t="s">
        <v>174</v>
      </c>
      <c r="E28" s="50" t="s">
        <v>176</v>
      </c>
      <c r="F28" s="44"/>
      <c r="G28" s="109">
        <f>K19*350%</f>
        <v>35</v>
      </c>
      <c r="H28" s="110"/>
      <c r="I28" s="110"/>
      <c r="J28" s="110"/>
      <c r="K28" s="110"/>
      <c r="L28" s="110"/>
      <c r="M28" s="110"/>
      <c r="N28" s="111"/>
      <c r="O28" s="88"/>
    </row>
    <row r="29" spans="2:15" ht="49.5" customHeight="1">
      <c r="B29" s="99"/>
      <c r="C29" s="100"/>
      <c r="D29" s="23" t="s">
        <v>175</v>
      </c>
      <c r="E29" s="10" t="s">
        <v>62</v>
      </c>
      <c r="F29" s="44"/>
      <c r="G29" s="109">
        <f>M19*250%</f>
        <v>25</v>
      </c>
      <c r="H29" s="110"/>
      <c r="I29" s="110"/>
      <c r="J29" s="110"/>
      <c r="K29" s="110"/>
      <c r="L29" s="110"/>
      <c r="M29" s="110"/>
      <c r="N29" s="111"/>
      <c r="O29" s="88"/>
    </row>
    <row r="30" spans="2:15" ht="49.5" customHeight="1">
      <c r="B30" s="99"/>
      <c r="C30" s="100"/>
      <c r="D30" s="23" t="s">
        <v>63</v>
      </c>
      <c r="E30" s="10" t="s">
        <v>64</v>
      </c>
      <c r="F30" s="44"/>
      <c r="G30" s="109">
        <f>O19*100%</f>
        <v>10</v>
      </c>
      <c r="H30" s="110"/>
      <c r="I30" s="110"/>
      <c r="J30" s="110"/>
      <c r="K30" s="110"/>
      <c r="L30" s="110"/>
      <c r="M30" s="110"/>
      <c r="N30" s="111"/>
      <c r="O30" s="90"/>
    </row>
    <row r="31" spans="2:15" ht="105.5" customHeight="1">
      <c r="B31" s="101"/>
      <c r="C31" s="102"/>
      <c r="D31" s="23" t="s">
        <v>65</v>
      </c>
      <c r="E31" s="89"/>
      <c r="F31" s="110"/>
      <c r="G31" s="110"/>
      <c r="H31" s="110"/>
      <c r="I31" s="110"/>
      <c r="J31" s="110"/>
      <c r="K31" s="110"/>
      <c r="L31" s="110"/>
      <c r="M31" s="110"/>
      <c r="N31" s="110"/>
      <c r="O31" s="111"/>
    </row>
  </sheetData>
  <mergeCells count="26">
    <mergeCell ref="D12:D13"/>
    <mergeCell ref="E31:O31"/>
    <mergeCell ref="D9:D10"/>
    <mergeCell ref="G30:N30"/>
    <mergeCell ref="O27:O30"/>
    <mergeCell ref="D14:D15"/>
    <mergeCell ref="G26:N26"/>
    <mergeCell ref="D24:E24"/>
    <mergeCell ref="G29:N29"/>
    <mergeCell ref="D23:E23"/>
    <mergeCell ref="B3:B4"/>
    <mergeCell ref="D22:E22"/>
    <mergeCell ref="G27:N27"/>
    <mergeCell ref="D21:E21"/>
    <mergeCell ref="B11:B16"/>
    <mergeCell ref="D7:D8"/>
    <mergeCell ref="D3:D4"/>
    <mergeCell ref="D16:D17"/>
    <mergeCell ref="C11:C16"/>
    <mergeCell ref="C7:C10"/>
    <mergeCell ref="B26:C31"/>
    <mergeCell ref="B21:C24"/>
    <mergeCell ref="C3:C4"/>
    <mergeCell ref="B5:B10"/>
    <mergeCell ref="C5:C6"/>
    <mergeCell ref="G28:N28"/>
  </mergeCells>
  <phoneticPr fontId="13" type="noConversion"/>
  <pageMargins left="0.7" right="0.7" top="0.75" bottom="0.75" header="0.3" footer="0.3"/>
  <pageSetup paperSize="9" scale="11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abSelected="1" topLeftCell="C10" workbookViewId="0">
      <selection activeCell="F20" sqref="F20"/>
    </sheetView>
  </sheetViews>
  <sheetFormatPr baseColWidth="10" defaultRowHeight="15"/>
  <cols>
    <col min="1" max="1" width="12" customWidth="1"/>
    <col min="3" max="3" width="49.5" customWidth="1"/>
    <col min="4" max="4" width="40.5" style="67" customWidth="1"/>
    <col min="5" max="5" width="65.1640625" style="67" customWidth="1"/>
    <col min="6" max="6" width="77.1640625" style="67" customWidth="1"/>
    <col min="7" max="8" width="40.5" style="67" customWidth="1"/>
  </cols>
  <sheetData>
    <row r="1" spans="1:11" s="71" customFormat="1" ht="19" customHeight="1">
      <c r="A1" s="118" t="s">
        <v>66</v>
      </c>
      <c r="B1" s="118" t="s">
        <v>67</v>
      </c>
      <c r="C1" s="118" t="s">
        <v>184</v>
      </c>
      <c r="D1" s="72" t="s">
        <v>68</v>
      </c>
      <c r="E1" s="72" t="s">
        <v>69</v>
      </c>
      <c r="F1" s="72" t="s">
        <v>70</v>
      </c>
      <c r="G1" s="72" t="s">
        <v>71</v>
      </c>
      <c r="H1" s="73"/>
      <c r="I1" s="70"/>
      <c r="J1" s="70"/>
      <c r="K1" s="70"/>
    </row>
    <row r="2" spans="1:11" s="71" customFormat="1" ht="38" customHeight="1">
      <c r="A2" s="119"/>
      <c r="B2" s="119"/>
      <c r="C2" s="119"/>
      <c r="D2" s="74" t="s">
        <v>72</v>
      </c>
      <c r="E2" s="74" t="s">
        <v>73</v>
      </c>
      <c r="F2" s="74" t="s">
        <v>74</v>
      </c>
      <c r="G2" s="74" t="s">
        <v>75</v>
      </c>
      <c r="H2" s="73"/>
      <c r="I2" s="70"/>
      <c r="J2" s="70"/>
      <c r="K2" s="70"/>
    </row>
    <row r="3" spans="1:11" ht="19" customHeight="1">
      <c r="A3" s="120" t="s">
        <v>76</v>
      </c>
      <c r="B3" s="120" t="s">
        <v>77</v>
      </c>
      <c r="C3" s="116" t="s">
        <v>185</v>
      </c>
      <c r="D3" s="68" t="s">
        <v>78</v>
      </c>
      <c r="E3" s="68" t="s">
        <v>79</v>
      </c>
      <c r="F3" s="68" t="s">
        <v>80</v>
      </c>
      <c r="G3" s="68" t="s">
        <v>81</v>
      </c>
    </row>
    <row r="4" spans="1:11" ht="38" customHeight="1">
      <c r="A4" s="117"/>
      <c r="B4" s="117"/>
      <c r="C4" s="117"/>
      <c r="D4" s="69" t="s">
        <v>82</v>
      </c>
      <c r="E4" s="69" t="s">
        <v>83</v>
      </c>
      <c r="F4" s="69" t="s">
        <v>84</v>
      </c>
      <c r="G4" s="69" t="s">
        <v>85</v>
      </c>
    </row>
    <row r="5" spans="1:11" ht="19" customHeight="1">
      <c r="A5" s="120" t="s">
        <v>76</v>
      </c>
      <c r="B5" s="120" t="s">
        <v>86</v>
      </c>
      <c r="C5" s="116" t="s">
        <v>186</v>
      </c>
      <c r="D5" s="68" t="s">
        <v>87</v>
      </c>
      <c r="E5" s="68" t="s">
        <v>88</v>
      </c>
      <c r="F5" s="68" t="s">
        <v>89</v>
      </c>
      <c r="G5" s="68" t="s">
        <v>90</v>
      </c>
    </row>
    <row r="6" spans="1:11" ht="96" customHeight="1">
      <c r="A6" s="117"/>
      <c r="B6" s="117"/>
      <c r="C6" s="117"/>
      <c r="D6" s="69" t="s">
        <v>177</v>
      </c>
      <c r="E6" s="69" t="s">
        <v>178</v>
      </c>
      <c r="F6" s="69" t="s">
        <v>187</v>
      </c>
      <c r="G6" s="69" t="s">
        <v>91</v>
      </c>
    </row>
    <row r="7" spans="1:11" ht="19" customHeight="1">
      <c r="A7" s="120" t="s">
        <v>76</v>
      </c>
      <c r="B7" s="120" t="s">
        <v>92</v>
      </c>
      <c r="C7" s="116" t="s">
        <v>188</v>
      </c>
      <c r="D7" s="68" t="s">
        <v>93</v>
      </c>
      <c r="E7" s="68" t="s">
        <v>94</v>
      </c>
      <c r="F7" s="68" t="s">
        <v>95</v>
      </c>
      <c r="G7" s="68" t="s">
        <v>96</v>
      </c>
    </row>
    <row r="8" spans="1:11" ht="57" customHeight="1">
      <c r="A8" s="117"/>
      <c r="B8" s="117"/>
      <c r="C8" s="117"/>
      <c r="D8" s="69" t="s">
        <v>97</v>
      </c>
      <c r="E8" s="69" t="s">
        <v>98</v>
      </c>
      <c r="F8" s="69" t="s">
        <v>182</v>
      </c>
      <c r="G8" s="69" t="s">
        <v>99</v>
      </c>
    </row>
    <row r="9" spans="1:11" ht="19" customHeight="1">
      <c r="A9" s="120" t="s">
        <v>76</v>
      </c>
      <c r="B9" s="120" t="s">
        <v>100</v>
      </c>
      <c r="C9" s="116" t="s">
        <v>189</v>
      </c>
      <c r="D9" s="68" t="s">
        <v>101</v>
      </c>
      <c r="E9" s="68" t="s">
        <v>102</v>
      </c>
      <c r="F9" s="68" t="s">
        <v>103</v>
      </c>
      <c r="G9" s="68" t="s">
        <v>104</v>
      </c>
    </row>
    <row r="10" spans="1:11" ht="38" customHeight="1">
      <c r="A10" s="117"/>
      <c r="B10" s="117"/>
      <c r="C10" s="117"/>
      <c r="D10" s="69" t="s">
        <v>183</v>
      </c>
      <c r="E10" s="69" t="s">
        <v>190</v>
      </c>
      <c r="F10" s="69" t="s">
        <v>191</v>
      </c>
      <c r="G10" s="69" t="s">
        <v>192</v>
      </c>
    </row>
    <row r="11" spans="1:11" ht="19" customHeight="1">
      <c r="A11" s="120" t="s">
        <v>105</v>
      </c>
      <c r="B11" s="120" t="s">
        <v>106</v>
      </c>
      <c r="C11" s="116" t="s">
        <v>193</v>
      </c>
      <c r="D11" s="68" t="s">
        <v>107</v>
      </c>
      <c r="E11" s="68" t="s">
        <v>108</v>
      </c>
      <c r="F11" s="68" t="s">
        <v>109</v>
      </c>
      <c r="G11" s="68" t="s">
        <v>110</v>
      </c>
    </row>
    <row r="12" spans="1:11" ht="87" customHeight="1">
      <c r="A12" s="117"/>
      <c r="B12" s="117"/>
      <c r="C12" s="117"/>
      <c r="D12" s="69" t="s">
        <v>179</v>
      </c>
      <c r="E12" s="69" t="s">
        <v>180</v>
      </c>
      <c r="F12" s="69" t="s">
        <v>181</v>
      </c>
      <c r="G12" s="69" t="s">
        <v>141</v>
      </c>
    </row>
    <row r="13" spans="1:11" ht="19" customHeight="1">
      <c r="A13" s="120" t="s">
        <v>105</v>
      </c>
      <c r="B13" s="120" t="s">
        <v>111</v>
      </c>
      <c r="C13" s="116" t="s">
        <v>112</v>
      </c>
      <c r="D13" s="68" t="s">
        <v>113</v>
      </c>
      <c r="E13" s="68" t="s">
        <v>114</v>
      </c>
      <c r="F13" s="68" t="s">
        <v>115</v>
      </c>
      <c r="G13" s="68" t="s">
        <v>116</v>
      </c>
    </row>
    <row r="14" spans="1:11" ht="104" customHeight="1">
      <c r="A14" s="117"/>
      <c r="B14" s="117"/>
      <c r="C14" s="117"/>
      <c r="D14" s="69" t="s">
        <v>117</v>
      </c>
      <c r="E14" s="69" t="s">
        <v>203</v>
      </c>
      <c r="F14" s="69" t="s">
        <v>197</v>
      </c>
      <c r="G14" s="69" t="s">
        <v>198</v>
      </c>
    </row>
    <row r="15" spans="1:11" ht="19" customHeight="1">
      <c r="A15" s="120" t="s">
        <v>118</v>
      </c>
      <c r="B15" s="120" t="s">
        <v>119</v>
      </c>
      <c r="C15" s="116" t="s">
        <v>194</v>
      </c>
      <c r="D15" s="68" t="s">
        <v>120</v>
      </c>
      <c r="E15" s="68" t="s">
        <v>121</v>
      </c>
      <c r="F15" s="68" t="s">
        <v>122</v>
      </c>
      <c r="G15" s="68" t="s">
        <v>123</v>
      </c>
    </row>
    <row r="16" spans="1:11" ht="57" customHeight="1">
      <c r="A16" s="117"/>
      <c r="B16" s="117"/>
      <c r="C16" s="117"/>
      <c r="D16" s="69" t="s">
        <v>124</v>
      </c>
      <c r="E16" s="69" t="s">
        <v>200</v>
      </c>
      <c r="F16" s="69" t="s">
        <v>125</v>
      </c>
      <c r="G16" s="69" t="s">
        <v>126</v>
      </c>
    </row>
    <row r="17" spans="1:7" ht="19" customHeight="1">
      <c r="A17" s="120" t="s">
        <v>118</v>
      </c>
      <c r="B17" s="120" t="s">
        <v>127</v>
      </c>
      <c r="C17" s="116" t="s">
        <v>195</v>
      </c>
      <c r="D17" s="68" t="s">
        <v>128</v>
      </c>
      <c r="E17" s="68" t="s">
        <v>129</v>
      </c>
      <c r="F17" s="68" t="s">
        <v>130</v>
      </c>
      <c r="G17" s="68" t="s">
        <v>131</v>
      </c>
    </row>
    <row r="18" spans="1:7" ht="108" customHeight="1">
      <c r="A18" s="117"/>
      <c r="B18" s="117"/>
      <c r="C18" s="117"/>
      <c r="D18" s="69" t="s">
        <v>199</v>
      </c>
      <c r="E18" s="69" t="s">
        <v>201</v>
      </c>
      <c r="F18" s="69" t="s">
        <v>204</v>
      </c>
      <c r="G18" s="69" t="s">
        <v>202</v>
      </c>
    </row>
    <row r="19" spans="1:7" ht="19" customHeight="1">
      <c r="A19" s="120" t="s">
        <v>118</v>
      </c>
      <c r="B19" s="120" t="s">
        <v>132</v>
      </c>
      <c r="C19" s="116" t="s">
        <v>196</v>
      </c>
      <c r="D19" s="68" t="s">
        <v>133</v>
      </c>
      <c r="E19" s="68" t="s">
        <v>134</v>
      </c>
      <c r="F19" s="68" t="s">
        <v>135</v>
      </c>
      <c r="G19" s="68" t="s">
        <v>136</v>
      </c>
    </row>
    <row r="20" spans="1:7" ht="57" customHeight="1">
      <c r="A20" s="117"/>
      <c r="B20" s="117"/>
      <c r="C20" s="117"/>
      <c r="D20" s="69" t="s">
        <v>137</v>
      </c>
      <c r="E20" s="69" t="s">
        <v>138</v>
      </c>
      <c r="F20" s="69" t="s">
        <v>139</v>
      </c>
      <c r="G20" s="69" t="s">
        <v>140</v>
      </c>
    </row>
  </sheetData>
  <mergeCells count="30">
    <mergeCell ref="C19:C20"/>
    <mergeCell ref="C13:C14"/>
    <mergeCell ref="A9:A10"/>
    <mergeCell ref="C3:C4"/>
    <mergeCell ref="A15:A16"/>
    <mergeCell ref="B7:B8"/>
    <mergeCell ref="C15:C16"/>
    <mergeCell ref="A11:A12"/>
    <mergeCell ref="C5:C6"/>
    <mergeCell ref="B19:B20"/>
    <mergeCell ref="B15:B16"/>
    <mergeCell ref="A5:A6"/>
    <mergeCell ref="B9:B10"/>
    <mergeCell ref="A17:A18"/>
    <mergeCell ref="A13:A14"/>
    <mergeCell ref="A19:A20"/>
    <mergeCell ref="C17:C18"/>
    <mergeCell ref="C7:C8"/>
    <mergeCell ref="A1:A2"/>
    <mergeCell ref="C1:C2"/>
    <mergeCell ref="C9:C10"/>
    <mergeCell ref="B13:B14"/>
    <mergeCell ref="A3:A4"/>
    <mergeCell ref="B1:B2"/>
    <mergeCell ref="C11:C12"/>
    <mergeCell ref="B5:B6"/>
    <mergeCell ref="B3:B4"/>
    <mergeCell ref="B17:B18"/>
    <mergeCell ref="A7:A8"/>
    <mergeCell ref="B11:B1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D66E-77DD-5C4D-8FE9-719768FBA5E6}">
  <dimension ref="A1:D8"/>
  <sheetViews>
    <sheetView workbookViewId="0">
      <selection activeCell="C12" sqref="C12"/>
    </sheetView>
  </sheetViews>
  <sheetFormatPr baseColWidth="10" defaultRowHeight="15"/>
  <cols>
    <col min="2" max="2" width="31.83203125" customWidth="1"/>
    <col min="3" max="3" width="68.6640625" style="67" customWidth="1"/>
    <col min="4" max="4" width="89" customWidth="1"/>
  </cols>
  <sheetData>
    <row r="1" spans="1:4" ht="19">
      <c r="A1" s="76" t="s">
        <v>67</v>
      </c>
      <c r="B1" s="76" t="s">
        <v>142</v>
      </c>
      <c r="C1" s="78" t="s">
        <v>143</v>
      </c>
      <c r="D1" s="76" t="s">
        <v>144</v>
      </c>
    </row>
    <row r="2" spans="1:4" ht="38">
      <c r="A2" s="77" t="s">
        <v>145</v>
      </c>
      <c r="B2" s="77" t="s">
        <v>146</v>
      </c>
      <c r="C2" s="69" t="s">
        <v>147</v>
      </c>
      <c r="D2" s="75" t="s">
        <v>148</v>
      </c>
    </row>
    <row r="3" spans="1:4" ht="38">
      <c r="A3" s="77" t="s">
        <v>149</v>
      </c>
      <c r="B3" s="77" t="s">
        <v>150</v>
      </c>
      <c r="C3" s="69" t="s">
        <v>151</v>
      </c>
      <c r="D3" s="75" t="s">
        <v>152</v>
      </c>
    </row>
    <row r="4" spans="1:4" ht="38">
      <c r="A4" s="77" t="s">
        <v>153</v>
      </c>
      <c r="B4" s="77" t="s">
        <v>154</v>
      </c>
      <c r="C4" s="69" t="s">
        <v>155</v>
      </c>
      <c r="D4" s="75" t="s">
        <v>156</v>
      </c>
    </row>
    <row r="5" spans="1:4" ht="38">
      <c r="A5" s="77" t="s">
        <v>157</v>
      </c>
      <c r="B5" s="77" t="s">
        <v>158</v>
      </c>
      <c r="C5" s="69" t="s">
        <v>159</v>
      </c>
      <c r="D5" s="75" t="s">
        <v>160</v>
      </c>
    </row>
    <row r="6" spans="1:4" ht="38">
      <c r="A6" s="77" t="s">
        <v>161</v>
      </c>
      <c r="B6" s="77" t="s">
        <v>162</v>
      </c>
      <c r="C6" s="69" t="s">
        <v>163</v>
      </c>
      <c r="D6" s="75" t="s">
        <v>164</v>
      </c>
    </row>
    <row r="7" spans="1:4" ht="38">
      <c r="A7" s="77" t="s">
        <v>165</v>
      </c>
      <c r="B7" s="77" t="s">
        <v>166</v>
      </c>
      <c r="C7" s="69" t="s">
        <v>167</v>
      </c>
      <c r="D7" s="75" t="s">
        <v>168</v>
      </c>
    </row>
    <row r="8" spans="1:4" ht="38">
      <c r="A8" s="77" t="s">
        <v>169</v>
      </c>
      <c r="B8" s="77" t="s">
        <v>170</v>
      </c>
      <c r="C8" s="79" t="s">
        <v>171</v>
      </c>
      <c r="D8" s="75" t="s">
        <v>172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私教答疑打分表</vt:lpstr>
      <vt:lpstr>定量细项打分说明</vt:lpstr>
      <vt:lpstr>定性细项打分说明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chin-zepp</dc:creator>
  <cp:lastModifiedBy>Nicole Wang</cp:lastModifiedBy>
  <cp:lastPrinted>2023-11-17T17:04:00Z</cp:lastPrinted>
  <dcterms:created xsi:type="dcterms:W3CDTF">2015-06-07T02:19:00Z</dcterms:created>
  <dcterms:modified xsi:type="dcterms:W3CDTF">2026-09-02T08:22:07Z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F70EC0D958AA4D708E56F9B52808E196_12</vt:lpwstr>
  </property>
  <property fmtid="{D5CDD505-2E9C-101B-9397-08002B2CF9AE}" pid="3" name="KSOProductBuildVer">
    <vt:lpwstr>2052-12.1.0.15990</vt:lpwstr>
  </property>
</Properties>
</file>